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Criterios" sheetId="2" state="visible" r:id="rId4"/>
    <sheet name="Resumen" sheetId="3" state="visible" r:id="rId5"/>
  </sheets>
  <definedNames>
    <definedName function="false" hidden="true" localSheetId="1" name="_xlnm._FilterDatabase" vbProcedure="false">Criterios!$A$1:$K$57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18"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 ref="F19"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 ref="F29"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 ref="F38"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 ref="F39"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 ref="F45"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 ref="F54"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 ref="F62" authorId="0">
      <text>
        <r>
          <rPr>
            <sz val="10"/>
            <rFont val="Arial"/>
            <family val="2"/>
          </rPr>
          <t xml:space="preserve">Figuraba en el anexo de 2022 del Decreto 406/022 (WCAG 2.1). Las publicaciones de AGESIC de septiembre de 2026 toman WCAG 2.2, niveles A y AA, como punto de partida. Se conserva por si evaluás contra el anexo de 2022.</t>
        </r>
      </text>
    </comment>
  </commentList>
</comments>
</file>

<file path=xl/sharedStrings.xml><?xml version="1.0" encoding="utf-8"?>
<sst xmlns="http://schemas.openxmlformats.org/spreadsheetml/2006/main" count="507" uniqueCount="182">
  <si>
    <t xml:space="preserve">Plantilla de evaluación de accesibilidad web: WCAG 2.2, niveles A y AA, más el 4.1.1 de WCAG 2.1 y siete criterios AAA del anexo de 2022</t>
  </si>
  <si>
    <t xml:space="preserve">Material de Silvia Da Rosa, octubre de 2026. Licencia CC BY-SA 4.0. Sin mantenimiento.</t>
  </si>
  <si>
    <t xml:space="preserve">Cómo se usa</t>
  </si>
  <si>
    <t xml:space="preserve">1. En la hoja Criterios, completá solo las columnas amarillas: Resultado, Evidencia o página, Cómo se verificó, Observaciones y Evaluador.</t>
  </si>
  <si>
    <t xml:space="preserve">2. Resultado se elige de una lista: Cumple, No cumple, No aplica o No evaluado. Todas las filas arrancan en No evaluado.</t>
  </si>
  <si>
    <t xml:space="preserve">3. La hoja Resumen cuenta los resultados por nivel, para toda la lista y para los criterios que exige el Decreto 406/022. Se actualiza sola.</t>
  </si>
  <si>
    <t xml:space="preserve">4. Para evaluar un sitio completo, esta lista no alcanza: conviene seguir una metodología, como WCAG-EM del W3C, y elegir una muestra de páginas.</t>
  </si>
  <si>
    <t xml:space="preserve">Dos referencias a la vez</t>
  </si>
  <si>
    <t xml:space="preserve">La lista tiene 63 filas: los 55 criterios de nivel A y AA de WCAG 2.2, el 4.1.1 (Procesamiento), que WCAG 2.2 eliminó pero que sigue vigente en WCAG 2.1, y siete criterios de nivel AAA.</t>
  </si>
  <si>
    <t xml:space="preserve">La columna Exigido hoy según AGESIC marca con Sí los 55 criterios de nivel A y AA de WCAG 2.2. Es el punto de partida que fija la guía de evaluación de AGESIC de septiembre de 2026 (mínimo nivel AA, sin perjuicio de criterios adicionales). Las filas marcadas No son el 4.1.1, que WCAG 2.2 eliminó, y siete criterios AAA que pedía el anexo de 2022 del Decreto 406/022 (1.4.6, 1.4.8, 2.2.6, 2.4.8, 2.4.10, 2.5.5 y 3.2.5). Se conservan por si tenés que evaluar contra esa versión.</t>
  </si>
  <si>
    <t xml:space="preserve">Ojo: el artículo 3 del decreto encarga a AGESIC actualizar los requisitos de forma periódica. Verificá la versión vigente en el sitio de AGESIC antes de evaluar un producto. AGESIC publica además su propia herramienta de evaluación en planilla para WCAG 2.2.</t>
  </si>
  <si>
    <t xml:space="preserve">Qué no incluye</t>
  </si>
  <si>
    <t xml:space="preserve">No reproduce el texto de los criterios. Está en la Recomendación del W3C: https://www.w3.org/TR/WCAG22/</t>
  </si>
  <si>
    <t xml:space="preserve">Los números y los niveles se verificaron en las páginas What's New de WCAG 2.1 y 2.2 del W3C y en las presentaciones originales. Los siete criterios AAA se tomaron del anexo de 2022 del Decreto 406/022 publicado por IMPO. Los nombres en español siguen los que usa AGESIC en sus publicaciones cuando los encontré (por ejemplo, Reajuste de elementos y Contraste aumentado); el resto son traducción propia.</t>
  </si>
  <si>
    <t xml:space="preserve">Ejemplo de una fila completada</t>
  </si>
  <si>
    <t xml:space="preserve">Criterio</t>
  </si>
  <si>
    <t xml:space="preserve">Nombre</t>
  </si>
  <si>
    <t xml:space="preserve">Resultado</t>
  </si>
  <si>
    <t xml:space="preserve">Evidencia o página</t>
  </si>
  <si>
    <t xml:space="preserve">Cómo se verificó</t>
  </si>
  <si>
    <t xml:space="preserve">Observaciones</t>
  </si>
  <si>
    <t xml:space="preserve">Evaluador</t>
  </si>
  <si>
    <t xml:space="preserve">1.4.3</t>
  </si>
  <si>
    <t xml:space="preserve">Contraste (mínimo)</t>
  </si>
  <si>
    <t xml:space="preserve">No cumple</t>
  </si>
  <si>
    <t xml:space="preserve">/contacto, botón Enviar</t>
  </si>
  <si>
    <t xml:space="preserve">Medido con una herramienta de contraste</t>
  </si>
  <si>
    <t xml:space="preserve">Texto gris claro sobre blanco, relación menor a 4,5:1</t>
  </si>
  <si>
    <t xml:space="preserve">Nombre del evaluador</t>
  </si>
  <si>
    <t xml:space="preserve">Nivel</t>
  </si>
  <si>
    <t xml:space="preserve">Principio</t>
  </si>
  <si>
    <t xml:space="preserve">Aparece desde</t>
  </si>
  <si>
    <t xml:space="preserve">Exigido hoy según AGESIC (WCAG 2.2, A y AA)</t>
  </si>
  <si>
    <t xml:space="preserve">1.1.1</t>
  </si>
  <si>
    <t xml:space="preserve">Contenido no textual</t>
  </si>
  <si>
    <t xml:space="preserve">A</t>
  </si>
  <si>
    <t xml:space="preserve">Perceptible</t>
  </si>
  <si>
    <t xml:space="preserve">WCAG 2.0</t>
  </si>
  <si>
    <t xml:space="preserve">Sí</t>
  </si>
  <si>
    <t xml:space="preserve">No evaluado</t>
  </si>
  <si>
    <t xml:space="preserve">1.2.1</t>
  </si>
  <si>
    <t xml:space="preserve">Solo audio y solo video (grabado)</t>
  </si>
  <si>
    <t xml:space="preserve">1.2.2</t>
  </si>
  <si>
    <t xml:space="preserve">Subtítulos (grabados)</t>
  </si>
  <si>
    <t xml:space="preserve">1.2.3</t>
  </si>
  <si>
    <t xml:space="preserve">Audiodescripción o medio alternativo (grabado)</t>
  </si>
  <si>
    <t xml:space="preserve">1.2.4</t>
  </si>
  <si>
    <t xml:space="preserve">Subtítulos (en directo)</t>
  </si>
  <si>
    <t xml:space="preserve">AA</t>
  </si>
  <si>
    <t xml:space="preserve">1.2.5</t>
  </si>
  <si>
    <t xml:space="preserve">Audiodescripción (grabado)</t>
  </si>
  <si>
    <t xml:space="preserve">1.3.1</t>
  </si>
  <si>
    <t xml:space="preserve">Información y relaciones</t>
  </si>
  <si>
    <t xml:space="preserve">1.3.2</t>
  </si>
  <si>
    <t xml:space="preserve">Secuencia significativa</t>
  </si>
  <si>
    <t xml:space="preserve">1.3.3</t>
  </si>
  <si>
    <t xml:space="preserve">Características sensoriales</t>
  </si>
  <si>
    <t xml:space="preserve">1.3.4</t>
  </si>
  <si>
    <t xml:space="preserve">Orientación</t>
  </si>
  <si>
    <t xml:space="preserve">WCAG 2.1</t>
  </si>
  <si>
    <t xml:space="preserve">1.3.5</t>
  </si>
  <si>
    <t xml:space="preserve">Identificar el propósito de los campos</t>
  </si>
  <si>
    <t xml:space="preserve">1.4.1</t>
  </si>
  <si>
    <t xml:space="preserve">Uso del color</t>
  </si>
  <si>
    <t xml:space="preserve">1.4.2</t>
  </si>
  <si>
    <t xml:space="preserve">Control del audio</t>
  </si>
  <si>
    <t xml:space="preserve">1.4.4</t>
  </si>
  <si>
    <t xml:space="preserve">Cambio de tamaño del texto</t>
  </si>
  <si>
    <t xml:space="preserve">1.4.5</t>
  </si>
  <si>
    <t xml:space="preserve">Imágenes de texto</t>
  </si>
  <si>
    <t xml:space="preserve">1.4.6</t>
  </si>
  <si>
    <t xml:space="preserve">Contraste aumentado</t>
  </si>
  <si>
    <t xml:space="preserve">AAA</t>
  </si>
  <si>
    <t xml:space="preserve">No</t>
  </si>
  <si>
    <t xml:space="preserve">1.4.8</t>
  </si>
  <si>
    <t xml:space="preserve">Presentación visual</t>
  </si>
  <si>
    <t xml:space="preserve">1.4.10</t>
  </si>
  <si>
    <t xml:space="preserve">Reajuste de elementos (reflow)</t>
  </si>
  <si>
    <t xml:space="preserve">1.4.11</t>
  </si>
  <si>
    <t xml:space="preserve">Contraste de elementos no textuales</t>
  </si>
  <si>
    <t xml:space="preserve">1.4.12</t>
  </si>
  <si>
    <t xml:space="preserve">Espaciado del texto</t>
  </si>
  <si>
    <t xml:space="preserve">1.4.13</t>
  </si>
  <si>
    <t xml:space="preserve">Contenido al pasar el cursor o al enfocar</t>
  </si>
  <si>
    <t xml:space="preserve">2.1.1</t>
  </si>
  <si>
    <t xml:space="preserve">Teclado</t>
  </si>
  <si>
    <t xml:space="preserve">Operable</t>
  </si>
  <si>
    <t xml:space="preserve">2.1.2</t>
  </si>
  <si>
    <t xml:space="preserve">Sin trampas para el foco del teclado</t>
  </si>
  <si>
    <t xml:space="preserve">2.1.4</t>
  </si>
  <si>
    <t xml:space="preserve">Atajos con teclas de caracteres</t>
  </si>
  <si>
    <t xml:space="preserve">2.2.1</t>
  </si>
  <si>
    <t xml:space="preserve">Tiempo ajustable</t>
  </si>
  <si>
    <t xml:space="preserve">2.2.2</t>
  </si>
  <si>
    <t xml:space="preserve">Poner en pausa, detener, ocultar</t>
  </si>
  <si>
    <t xml:space="preserve">2.2.6</t>
  </si>
  <si>
    <t xml:space="preserve">Límites de tiempo</t>
  </si>
  <si>
    <t xml:space="preserve">2.3.1</t>
  </si>
  <si>
    <t xml:space="preserve">Umbral de tres destellos o menos</t>
  </si>
  <si>
    <t xml:space="preserve">2.4.1</t>
  </si>
  <si>
    <t xml:space="preserve">Evitar bloques</t>
  </si>
  <si>
    <t xml:space="preserve">2.4.2</t>
  </si>
  <si>
    <t xml:space="preserve">Titulado de páginas</t>
  </si>
  <si>
    <t xml:space="preserve">2.4.3</t>
  </si>
  <si>
    <t xml:space="preserve">Orden del foco</t>
  </si>
  <si>
    <t xml:space="preserve">2.4.4</t>
  </si>
  <si>
    <t xml:space="preserve">Propósito de los enlaces (en contexto)</t>
  </si>
  <si>
    <t xml:space="preserve">2.4.5</t>
  </si>
  <si>
    <t xml:space="preserve">Múltiples vías</t>
  </si>
  <si>
    <t xml:space="preserve">2.4.6</t>
  </si>
  <si>
    <t xml:space="preserve">Encabezados y etiquetas</t>
  </si>
  <si>
    <t xml:space="preserve">2.4.7</t>
  </si>
  <si>
    <t xml:space="preserve">Foco visible</t>
  </si>
  <si>
    <t xml:space="preserve">2.4.8</t>
  </si>
  <si>
    <t xml:space="preserve">Ubicación</t>
  </si>
  <si>
    <t xml:space="preserve">2.4.10</t>
  </si>
  <si>
    <t xml:space="preserve">Encabezados de sección</t>
  </si>
  <si>
    <t xml:space="preserve">2.4.11</t>
  </si>
  <si>
    <t xml:space="preserve">Foco no oculto (mínimo)</t>
  </si>
  <si>
    <t xml:space="preserve">WCAG 2.2</t>
  </si>
  <si>
    <t xml:space="preserve">2.5.1</t>
  </si>
  <si>
    <t xml:space="preserve">Gestos con el puntero</t>
  </si>
  <si>
    <t xml:space="preserve">2.5.2</t>
  </si>
  <si>
    <t xml:space="preserve">Cancelación del puntero</t>
  </si>
  <si>
    <t xml:space="preserve">2.5.3</t>
  </si>
  <si>
    <t xml:space="preserve">Etiqueta en el nombre</t>
  </si>
  <si>
    <t xml:space="preserve">2.5.4</t>
  </si>
  <si>
    <t xml:space="preserve">Activación por movimiento</t>
  </si>
  <si>
    <t xml:space="preserve">2.5.5</t>
  </si>
  <si>
    <t xml:space="preserve">Tamaño del área de interacción</t>
  </si>
  <si>
    <t xml:space="preserve">2.5.7</t>
  </si>
  <si>
    <t xml:space="preserve">Movimientos de arrastre</t>
  </si>
  <si>
    <t xml:space="preserve">2.5.8</t>
  </si>
  <si>
    <t xml:space="preserve">Tamaño del objetivo (mínimo)</t>
  </si>
  <si>
    <t xml:space="preserve">3.1.1</t>
  </si>
  <si>
    <t xml:space="preserve">Idioma de la página</t>
  </si>
  <si>
    <t xml:space="preserve">Comprensible</t>
  </si>
  <si>
    <t xml:space="preserve">3.1.2</t>
  </si>
  <si>
    <t xml:space="preserve">Idioma de las partes</t>
  </si>
  <si>
    <t xml:space="preserve">3.2.1</t>
  </si>
  <si>
    <t xml:space="preserve">Al recibir el foco</t>
  </si>
  <si>
    <t xml:space="preserve">3.2.2</t>
  </si>
  <si>
    <t xml:space="preserve">Al recibir entradas</t>
  </si>
  <si>
    <t xml:space="preserve">3.2.3</t>
  </si>
  <si>
    <t xml:space="preserve">Navegación consistente</t>
  </si>
  <si>
    <t xml:space="preserve">3.2.4</t>
  </si>
  <si>
    <t xml:space="preserve">Identificación consistente</t>
  </si>
  <si>
    <t xml:space="preserve">3.2.5</t>
  </si>
  <si>
    <t xml:space="preserve">Cambio a petición</t>
  </si>
  <si>
    <t xml:space="preserve">3.2.6</t>
  </si>
  <si>
    <t xml:space="preserve">Ayuda coherente</t>
  </si>
  <si>
    <t xml:space="preserve">3.3.1</t>
  </si>
  <si>
    <t xml:space="preserve">Identificación de errores</t>
  </si>
  <si>
    <t xml:space="preserve">3.3.2</t>
  </si>
  <si>
    <t xml:space="preserve">Etiquetas o instrucciones</t>
  </si>
  <si>
    <t xml:space="preserve">3.3.3</t>
  </si>
  <si>
    <t xml:space="preserve">Sugerencias de error</t>
  </si>
  <si>
    <t xml:space="preserve">3.3.4</t>
  </si>
  <si>
    <t xml:space="preserve">Prevención de errores (legales, financieros, datos)</t>
  </si>
  <si>
    <t xml:space="preserve">3.3.7</t>
  </si>
  <si>
    <t xml:space="preserve">Entrada redundante</t>
  </si>
  <si>
    <t xml:space="preserve">3.3.8</t>
  </si>
  <si>
    <t xml:space="preserve">Autenticación accesible (mínimo)</t>
  </si>
  <si>
    <t xml:space="preserve">4.1.1</t>
  </si>
  <si>
    <t xml:space="preserve">Procesamiento (obsoleto en WCAG 2.2)</t>
  </si>
  <si>
    <t xml:space="preserve">Robusto</t>
  </si>
  <si>
    <t xml:space="preserve">4.1.2</t>
  </si>
  <si>
    <t xml:space="preserve">Nombre, función, valor</t>
  </si>
  <si>
    <t xml:space="preserve">4.1.3</t>
  </si>
  <si>
    <t xml:space="preserve">Mensajes de estado</t>
  </si>
  <si>
    <t xml:space="preserve">Resumen de resultados</t>
  </si>
  <si>
    <t xml:space="preserve">Toda la lista (63 criterios)</t>
  </si>
  <si>
    <t xml:space="preserve">Nivel A</t>
  </si>
  <si>
    <t xml:space="preserve">Nivel AA</t>
  </si>
  <si>
    <t xml:space="preserve">Nivel AAA</t>
  </si>
  <si>
    <t xml:space="preserve">Total</t>
  </si>
  <si>
    <t xml:space="preserve">Cumple</t>
  </si>
  <si>
    <t xml:space="preserve">No aplica</t>
  </si>
  <si>
    <t xml:space="preserve">Total de criterios</t>
  </si>
  <si>
    <t xml:space="preserve">Porcentaje evaluado (distinto de No evaluado)</t>
  </si>
  <si>
    <t xml:space="preserve">Solo los criterios exigidos hoy según AGESIC (55 criterios)</t>
  </si>
  <si>
    <t xml:space="preserve">Notas: la lista completa debe dar 63 criterios y la de AGESIC, 55. Si no, revisá la hoja Criterios. Cumplir todos los criterios no equivale a ser accesible: ver 04-evaluacion/01-principios-de-evaluacion.md.</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</si>
</sst>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b val="true"/>
      <sz val="11"/>
      <color rgb="FFFFFFFF"/>
      <name val="Arial"/>
      <family val="0"/>
      <charset val="1"/>
    </font>
    <font>
      <sz val="10"/>
      <name val="Arial"/>
      <family val="2"/>
    </font>
    <font>
      <b val="true"/>
      <sz val="13"/>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2" min="2" style="1" width="34"/>
    <col collapsed="false" customWidth="true" hidden="false" outlineLevel="0" max="3" min="3" style="1" width="14"/>
    <col collapsed="false" customWidth="true" hidden="false" outlineLevel="0" max="4" min="4" style="1" width="28"/>
    <col collapsed="false" customWidth="true" hidden="false" outlineLevel="0" max="5" min="5" style="1" width="36"/>
    <col collapsed="false" customWidth="true" hidden="false" outlineLevel="0" max="6" min="6" style="1" width="44"/>
    <col collapsed="false" customWidth="true" hidden="false" outlineLevel="0" max="7" min="7" style="1" width="22"/>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2" t="s">
        <v>2</v>
      </c>
    </row>
    <row r="5" customFormat="false" ht="26.25" hidden="false" customHeight="true" outlineLevel="0" collapsed="false">
      <c r="A5" s="3" t="s">
        <v>3</v>
      </c>
    </row>
    <row r="6" customFormat="false" ht="26.25" hidden="false" customHeight="true" outlineLevel="0" collapsed="false">
      <c r="A6" s="3" t="s">
        <v>4</v>
      </c>
    </row>
    <row r="7" customFormat="false" ht="26.25" hidden="false" customHeight="true" outlineLevel="0" collapsed="false">
      <c r="A7" s="3" t="s">
        <v>5</v>
      </c>
    </row>
    <row r="8" customFormat="false" ht="26.25" hidden="false" customHeight="true" outlineLevel="0" collapsed="false">
      <c r="A8" s="3" t="s">
        <v>6</v>
      </c>
    </row>
    <row r="9" customFormat="false" ht="15" hidden="false" customHeight="true" outlineLevel="0" collapsed="false">
      <c r="A9" s="3"/>
    </row>
    <row r="10" customFormat="false" ht="15" hidden="false" customHeight="true" outlineLevel="0" collapsed="false">
      <c r="A10" s="2" t="s">
        <v>7</v>
      </c>
    </row>
    <row r="11" customFormat="false" ht="26.25" hidden="false" customHeight="true" outlineLevel="0" collapsed="false">
      <c r="A11" s="3" t="s">
        <v>8</v>
      </c>
    </row>
    <row r="12" customFormat="false" ht="69.75" hidden="false" customHeight="true" outlineLevel="0" collapsed="false">
      <c r="A12" s="3" t="s">
        <v>9</v>
      </c>
    </row>
    <row r="13" customFormat="false" ht="42" hidden="false" customHeight="true" outlineLevel="0" collapsed="false">
      <c r="A13" s="3" t="s">
        <v>10</v>
      </c>
    </row>
    <row r="14" customFormat="false" ht="15" hidden="false" customHeight="true" outlineLevel="0" collapsed="false">
      <c r="A14" s="2" t="s">
        <v>11</v>
      </c>
    </row>
    <row r="15" customFormat="false" ht="15" hidden="false" customHeight="true" outlineLevel="0" collapsed="false">
      <c r="A15" s="3" t="s">
        <v>12</v>
      </c>
    </row>
    <row r="16" customFormat="false" ht="42" hidden="false" customHeight="true" outlineLevel="0" collapsed="false">
      <c r="A16" s="3" t="s">
        <v>13</v>
      </c>
    </row>
    <row r="17" customFormat="false" ht="15" hidden="false" customHeight="true" outlineLevel="0" collapsed="false">
      <c r="A17" s="3"/>
    </row>
    <row r="18" customFormat="false" ht="15" hidden="false" customHeight="true" outlineLevel="0" collapsed="false">
      <c r="A18" s="2" t="s">
        <v>14</v>
      </c>
    </row>
    <row r="19" customFormat="false" ht="15" hidden="false" customHeight="true" outlineLevel="0" collapsed="false">
      <c r="A19" s="4" t="s">
        <v>15</v>
      </c>
      <c r="B19" s="4" t="s">
        <v>16</v>
      </c>
      <c r="C19" s="4" t="s">
        <v>17</v>
      </c>
      <c r="D19" s="4" t="s">
        <v>18</v>
      </c>
      <c r="E19" s="4" t="s">
        <v>19</v>
      </c>
      <c r="F19" s="4" t="s">
        <v>20</v>
      </c>
      <c r="G19" s="4" t="s">
        <v>21</v>
      </c>
    </row>
    <row r="20" customFormat="false" ht="26.25" hidden="false" customHeight="true" outlineLevel="0" collapsed="false">
      <c r="A20" s="5" t="s">
        <v>22</v>
      </c>
      <c r="B20" s="5" t="s">
        <v>23</v>
      </c>
      <c r="C20" s="5" t="s">
        <v>24</v>
      </c>
      <c r="D20" s="5" t="s">
        <v>25</v>
      </c>
      <c r="E20" s="5" t="s">
        <v>26</v>
      </c>
      <c r="F20" s="5" t="s">
        <v>27</v>
      </c>
      <c r="G20"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8"/>
    <col collapsed="false" customWidth="true" hidden="false" outlineLevel="0" max="3" min="3" style="1" width="8"/>
    <col collapsed="false" customWidth="true" hidden="false" outlineLevel="0" max="5" min="4" style="1" width="14"/>
    <col collapsed="false" customWidth="true" hidden="false" outlineLevel="0" max="6" min="6" style="1" width="22"/>
    <col collapsed="false" customWidth="true" hidden="false" outlineLevel="0" max="7" min="7" style="1" width="14"/>
    <col collapsed="false" customWidth="true" hidden="false" outlineLevel="0" max="8" min="8" style="1" width="30"/>
    <col collapsed="false" customWidth="true" hidden="false" outlineLevel="0" max="9" min="9" style="1" width="34"/>
    <col collapsed="false" customWidth="true" hidden="false" outlineLevel="0" max="10" min="10" style="1" width="40"/>
    <col collapsed="false" customWidth="true" hidden="false" outlineLevel="0" max="11" min="11" style="1" width="18"/>
  </cols>
  <sheetData>
    <row r="1" customFormat="false" ht="39" hidden="false" customHeight="true" outlineLevel="0" collapsed="false">
      <c r="A1" s="6" t="s">
        <v>15</v>
      </c>
      <c r="B1" s="6" t="s">
        <v>16</v>
      </c>
      <c r="C1" s="6" t="s">
        <v>29</v>
      </c>
      <c r="D1" s="6" t="s">
        <v>30</v>
      </c>
      <c r="E1" s="6" t="s">
        <v>31</v>
      </c>
      <c r="F1" s="6" t="s">
        <v>32</v>
      </c>
      <c r="G1" s="6" t="s">
        <v>17</v>
      </c>
      <c r="H1" s="6" t="s">
        <v>18</v>
      </c>
      <c r="I1" s="6" t="s">
        <v>19</v>
      </c>
      <c r="J1" s="6" t="s">
        <v>20</v>
      </c>
      <c r="K1" s="6" t="s">
        <v>21</v>
      </c>
    </row>
    <row r="2" customFormat="false" ht="26.25" hidden="false" customHeight="true" outlineLevel="0" collapsed="false">
      <c r="A2" s="5" t="s">
        <v>33</v>
      </c>
      <c r="B2" s="5" t="s">
        <v>34</v>
      </c>
      <c r="C2" s="5" t="s">
        <v>35</v>
      </c>
      <c r="D2" s="5" t="s">
        <v>36</v>
      </c>
      <c r="E2" s="5" t="s">
        <v>37</v>
      </c>
      <c r="F2" s="5" t="s">
        <v>38</v>
      </c>
      <c r="G2" s="7" t="s">
        <v>39</v>
      </c>
      <c r="H2" s="7"/>
      <c r="I2" s="7"/>
      <c r="J2" s="7"/>
      <c r="K2" s="7"/>
    </row>
    <row r="3" customFormat="false" ht="26.25" hidden="false" customHeight="true" outlineLevel="0" collapsed="false">
      <c r="A3" s="5" t="s">
        <v>40</v>
      </c>
      <c r="B3" s="5" t="s">
        <v>41</v>
      </c>
      <c r="C3" s="5" t="s">
        <v>35</v>
      </c>
      <c r="D3" s="5" t="s">
        <v>36</v>
      </c>
      <c r="E3" s="5" t="s">
        <v>37</v>
      </c>
      <c r="F3" s="5" t="s">
        <v>38</v>
      </c>
      <c r="G3" s="7" t="s">
        <v>39</v>
      </c>
      <c r="H3" s="7"/>
      <c r="I3" s="7"/>
      <c r="J3" s="7"/>
      <c r="K3" s="7"/>
    </row>
    <row r="4" customFormat="false" ht="26.25" hidden="false" customHeight="true" outlineLevel="0" collapsed="false">
      <c r="A4" s="5" t="s">
        <v>42</v>
      </c>
      <c r="B4" s="5" t="s">
        <v>43</v>
      </c>
      <c r="C4" s="5" t="s">
        <v>35</v>
      </c>
      <c r="D4" s="5" t="s">
        <v>36</v>
      </c>
      <c r="E4" s="5" t="s">
        <v>37</v>
      </c>
      <c r="F4" s="5" t="s">
        <v>38</v>
      </c>
      <c r="G4" s="7" t="s">
        <v>39</v>
      </c>
      <c r="H4" s="7"/>
      <c r="I4" s="7"/>
      <c r="J4" s="7"/>
      <c r="K4" s="7"/>
    </row>
    <row r="5" customFormat="false" ht="26.25" hidden="false" customHeight="true" outlineLevel="0" collapsed="false">
      <c r="A5" s="5" t="s">
        <v>44</v>
      </c>
      <c r="B5" s="5" t="s">
        <v>45</v>
      </c>
      <c r="C5" s="5" t="s">
        <v>35</v>
      </c>
      <c r="D5" s="5" t="s">
        <v>36</v>
      </c>
      <c r="E5" s="5" t="s">
        <v>37</v>
      </c>
      <c r="F5" s="5" t="s">
        <v>38</v>
      </c>
      <c r="G5" s="7" t="s">
        <v>39</v>
      </c>
      <c r="H5" s="7"/>
      <c r="I5" s="7"/>
      <c r="J5" s="7"/>
      <c r="K5" s="7"/>
    </row>
    <row r="6" customFormat="false" ht="26.25" hidden="false" customHeight="true" outlineLevel="0" collapsed="false">
      <c r="A6" s="5" t="s">
        <v>46</v>
      </c>
      <c r="B6" s="5" t="s">
        <v>47</v>
      </c>
      <c r="C6" s="5" t="s">
        <v>48</v>
      </c>
      <c r="D6" s="5" t="s">
        <v>36</v>
      </c>
      <c r="E6" s="5" t="s">
        <v>37</v>
      </c>
      <c r="F6" s="5" t="s">
        <v>38</v>
      </c>
      <c r="G6" s="7" t="s">
        <v>39</v>
      </c>
      <c r="H6" s="7"/>
      <c r="I6" s="7"/>
      <c r="J6" s="7"/>
      <c r="K6" s="7"/>
    </row>
    <row r="7" customFormat="false" ht="26.25" hidden="false" customHeight="true" outlineLevel="0" collapsed="false">
      <c r="A7" s="5" t="s">
        <v>49</v>
      </c>
      <c r="B7" s="5" t="s">
        <v>50</v>
      </c>
      <c r="C7" s="5" t="s">
        <v>48</v>
      </c>
      <c r="D7" s="5" t="s">
        <v>36</v>
      </c>
      <c r="E7" s="5" t="s">
        <v>37</v>
      </c>
      <c r="F7" s="5" t="s">
        <v>38</v>
      </c>
      <c r="G7" s="7" t="s">
        <v>39</v>
      </c>
      <c r="H7" s="7"/>
      <c r="I7" s="7"/>
      <c r="J7" s="7"/>
      <c r="K7" s="7"/>
    </row>
    <row r="8" customFormat="false" ht="26.25" hidden="false" customHeight="true" outlineLevel="0" collapsed="false">
      <c r="A8" s="5" t="s">
        <v>51</v>
      </c>
      <c r="B8" s="5" t="s">
        <v>52</v>
      </c>
      <c r="C8" s="5" t="s">
        <v>35</v>
      </c>
      <c r="D8" s="5" t="s">
        <v>36</v>
      </c>
      <c r="E8" s="5" t="s">
        <v>37</v>
      </c>
      <c r="F8" s="5" t="s">
        <v>38</v>
      </c>
      <c r="G8" s="7" t="s">
        <v>39</v>
      </c>
      <c r="H8" s="7"/>
      <c r="I8" s="7"/>
      <c r="J8" s="7"/>
      <c r="K8" s="7"/>
    </row>
    <row r="9" customFormat="false" ht="26.25" hidden="false" customHeight="true" outlineLevel="0" collapsed="false">
      <c r="A9" s="5" t="s">
        <v>53</v>
      </c>
      <c r="B9" s="5" t="s">
        <v>54</v>
      </c>
      <c r="C9" s="5" t="s">
        <v>35</v>
      </c>
      <c r="D9" s="5" t="s">
        <v>36</v>
      </c>
      <c r="E9" s="5" t="s">
        <v>37</v>
      </c>
      <c r="F9" s="5" t="s">
        <v>38</v>
      </c>
      <c r="G9" s="7" t="s">
        <v>39</v>
      </c>
      <c r="H9" s="7"/>
      <c r="I9" s="7"/>
      <c r="J9" s="7"/>
      <c r="K9" s="7"/>
    </row>
    <row r="10" customFormat="false" ht="26.25" hidden="false" customHeight="true" outlineLevel="0" collapsed="false">
      <c r="A10" s="5" t="s">
        <v>55</v>
      </c>
      <c r="B10" s="5" t="s">
        <v>56</v>
      </c>
      <c r="C10" s="5" t="s">
        <v>35</v>
      </c>
      <c r="D10" s="5" t="s">
        <v>36</v>
      </c>
      <c r="E10" s="5" t="s">
        <v>37</v>
      </c>
      <c r="F10" s="5" t="s">
        <v>38</v>
      </c>
      <c r="G10" s="7" t="s">
        <v>39</v>
      </c>
      <c r="H10" s="7"/>
      <c r="I10" s="7"/>
      <c r="J10" s="7"/>
      <c r="K10" s="7"/>
    </row>
    <row r="11" customFormat="false" ht="26.25" hidden="false" customHeight="true" outlineLevel="0" collapsed="false">
      <c r="A11" s="5" t="s">
        <v>57</v>
      </c>
      <c r="B11" s="5" t="s">
        <v>58</v>
      </c>
      <c r="C11" s="5" t="s">
        <v>48</v>
      </c>
      <c r="D11" s="5" t="s">
        <v>36</v>
      </c>
      <c r="E11" s="5" t="s">
        <v>59</v>
      </c>
      <c r="F11" s="5" t="s">
        <v>38</v>
      </c>
      <c r="G11" s="7" t="s">
        <v>39</v>
      </c>
      <c r="H11" s="7"/>
      <c r="I11" s="7"/>
      <c r="J11" s="7"/>
      <c r="K11" s="7"/>
    </row>
    <row r="12" customFormat="false" ht="26.25" hidden="false" customHeight="true" outlineLevel="0" collapsed="false">
      <c r="A12" s="5" t="s">
        <v>60</v>
      </c>
      <c r="B12" s="5" t="s">
        <v>61</v>
      </c>
      <c r="C12" s="5" t="s">
        <v>48</v>
      </c>
      <c r="D12" s="5" t="s">
        <v>36</v>
      </c>
      <c r="E12" s="5" t="s">
        <v>59</v>
      </c>
      <c r="F12" s="5" t="s">
        <v>38</v>
      </c>
      <c r="G12" s="7" t="s">
        <v>39</v>
      </c>
      <c r="H12" s="7"/>
      <c r="I12" s="7"/>
      <c r="J12" s="7"/>
      <c r="K12" s="7"/>
    </row>
    <row r="13" customFormat="false" ht="26.25" hidden="false" customHeight="true" outlineLevel="0" collapsed="false">
      <c r="A13" s="5" t="s">
        <v>62</v>
      </c>
      <c r="B13" s="5" t="s">
        <v>63</v>
      </c>
      <c r="C13" s="5" t="s">
        <v>35</v>
      </c>
      <c r="D13" s="5" t="s">
        <v>36</v>
      </c>
      <c r="E13" s="5" t="s">
        <v>37</v>
      </c>
      <c r="F13" s="5" t="s">
        <v>38</v>
      </c>
      <c r="G13" s="7" t="s">
        <v>39</v>
      </c>
      <c r="H13" s="7"/>
      <c r="I13" s="7"/>
      <c r="J13" s="7"/>
      <c r="K13" s="7"/>
    </row>
    <row r="14" customFormat="false" ht="26.25" hidden="false" customHeight="true" outlineLevel="0" collapsed="false">
      <c r="A14" s="5" t="s">
        <v>64</v>
      </c>
      <c r="B14" s="5" t="s">
        <v>65</v>
      </c>
      <c r="C14" s="5" t="s">
        <v>35</v>
      </c>
      <c r="D14" s="5" t="s">
        <v>36</v>
      </c>
      <c r="E14" s="5" t="s">
        <v>37</v>
      </c>
      <c r="F14" s="5" t="s">
        <v>38</v>
      </c>
      <c r="G14" s="7" t="s">
        <v>39</v>
      </c>
      <c r="H14" s="7"/>
      <c r="I14" s="7"/>
      <c r="J14" s="7"/>
      <c r="K14" s="7"/>
    </row>
    <row r="15" customFormat="false" ht="26.25" hidden="false" customHeight="true" outlineLevel="0" collapsed="false">
      <c r="A15" s="5" t="s">
        <v>22</v>
      </c>
      <c r="B15" s="5" t="s">
        <v>23</v>
      </c>
      <c r="C15" s="5" t="s">
        <v>48</v>
      </c>
      <c r="D15" s="5" t="s">
        <v>36</v>
      </c>
      <c r="E15" s="5" t="s">
        <v>37</v>
      </c>
      <c r="F15" s="5" t="s">
        <v>38</v>
      </c>
      <c r="G15" s="7" t="s">
        <v>39</v>
      </c>
      <c r="H15" s="7"/>
      <c r="I15" s="7"/>
      <c r="J15" s="7"/>
      <c r="K15" s="7"/>
    </row>
    <row r="16" customFormat="false" ht="26.25" hidden="false" customHeight="true" outlineLevel="0" collapsed="false">
      <c r="A16" s="5" t="s">
        <v>66</v>
      </c>
      <c r="B16" s="5" t="s">
        <v>67</v>
      </c>
      <c r="C16" s="5" t="s">
        <v>48</v>
      </c>
      <c r="D16" s="5" t="s">
        <v>36</v>
      </c>
      <c r="E16" s="5" t="s">
        <v>37</v>
      </c>
      <c r="F16" s="5" t="s">
        <v>38</v>
      </c>
      <c r="G16" s="7" t="s">
        <v>39</v>
      </c>
      <c r="H16" s="7"/>
      <c r="I16" s="7"/>
      <c r="J16" s="7"/>
      <c r="K16" s="7"/>
    </row>
    <row r="17" customFormat="false" ht="26.25" hidden="false" customHeight="true" outlineLevel="0" collapsed="false">
      <c r="A17" s="5" t="s">
        <v>68</v>
      </c>
      <c r="B17" s="5" t="s">
        <v>69</v>
      </c>
      <c r="C17" s="5" t="s">
        <v>48</v>
      </c>
      <c r="D17" s="5" t="s">
        <v>36</v>
      </c>
      <c r="E17" s="5" t="s">
        <v>37</v>
      </c>
      <c r="F17" s="5" t="s">
        <v>38</v>
      </c>
      <c r="G17" s="7" t="s">
        <v>39</v>
      </c>
      <c r="H17" s="7"/>
      <c r="I17" s="7"/>
      <c r="J17" s="7"/>
      <c r="K17" s="7"/>
    </row>
    <row r="18" customFormat="false" ht="26.25" hidden="false" customHeight="true" outlineLevel="0" collapsed="false">
      <c r="A18" s="5" t="s">
        <v>70</v>
      </c>
      <c r="B18" s="5" t="s">
        <v>71</v>
      </c>
      <c r="C18" s="5" t="s">
        <v>72</v>
      </c>
      <c r="D18" s="5" t="s">
        <v>36</v>
      </c>
      <c r="E18" s="5" t="s">
        <v>37</v>
      </c>
      <c r="F18" s="5" t="s">
        <v>73</v>
      </c>
      <c r="G18" s="7" t="s">
        <v>39</v>
      </c>
      <c r="H18" s="7"/>
      <c r="I18" s="7"/>
      <c r="J18" s="7"/>
      <c r="K18" s="7"/>
    </row>
    <row r="19" customFormat="false" ht="26.25" hidden="false" customHeight="true" outlineLevel="0" collapsed="false">
      <c r="A19" s="5" t="s">
        <v>74</v>
      </c>
      <c r="B19" s="5" t="s">
        <v>75</v>
      </c>
      <c r="C19" s="5" t="s">
        <v>72</v>
      </c>
      <c r="D19" s="5" t="s">
        <v>36</v>
      </c>
      <c r="E19" s="5" t="s">
        <v>37</v>
      </c>
      <c r="F19" s="5" t="s">
        <v>73</v>
      </c>
      <c r="G19" s="7" t="s">
        <v>39</v>
      </c>
      <c r="H19" s="7"/>
      <c r="I19" s="7"/>
      <c r="J19" s="7"/>
      <c r="K19" s="7"/>
    </row>
    <row r="20" customFormat="false" ht="26.25" hidden="false" customHeight="true" outlineLevel="0" collapsed="false">
      <c r="A20" s="5" t="s">
        <v>76</v>
      </c>
      <c r="B20" s="5" t="s">
        <v>77</v>
      </c>
      <c r="C20" s="5" t="s">
        <v>48</v>
      </c>
      <c r="D20" s="5" t="s">
        <v>36</v>
      </c>
      <c r="E20" s="5" t="s">
        <v>59</v>
      </c>
      <c r="F20" s="5" t="s">
        <v>38</v>
      </c>
      <c r="G20" s="7" t="s">
        <v>39</v>
      </c>
      <c r="H20" s="7"/>
      <c r="I20" s="7"/>
      <c r="J20" s="7"/>
      <c r="K20" s="7"/>
    </row>
    <row r="21" customFormat="false" ht="26.25" hidden="false" customHeight="true" outlineLevel="0" collapsed="false">
      <c r="A21" s="5" t="s">
        <v>78</v>
      </c>
      <c r="B21" s="5" t="s">
        <v>79</v>
      </c>
      <c r="C21" s="5" t="s">
        <v>48</v>
      </c>
      <c r="D21" s="5" t="s">
        <v>36</v>
      </c>
      <c r="E21" s="5" t="s">
        <v>59</v>
      </c>
      <c r="F21" s="5" t="s">
        <v>38</v>
      </c>
      <c r="G21" s="7" t="s">
        <v>39</v>
      </c>
      <c r="H21" s="7"/>
      <c r="I21" s="7"/>
      <c r="J21" s="7"/>
      <c r="K21" s="7"/>
    </row>
    <row r="22" customFormat="false" ht="26.25" hidden="false" customHeight="true" outlineLevel="0" collapsed="false">
      <c r="A22" s="5" t="s">
        <v>80</v>
      </c>
      <c r="B22" s="5" t="s">
        <v>81</v>
      </c>
      <c r="C22" s="5" t="s">
        <v>48</v>
      </c>
      <c r="D22" s="5" t="s">
        <v>36</v>
      </c>
      <c r="E22" s="5" t="s">
        <v>59</v>
      </c>
      <c r="F22" s="5" t="s">
        <v>38</v>
      </c>
      <c r="G22" s="7" t="s">
        <v>39</v>
      </c>
      <c r="H22" s="7"/>
      <c r="I22" s="7"/>
      <c r="J22" s="7"/>
      <c r="K22" s="7"/>
    </row>
    <row r="23" customFormat="false" ht="26.25" hidden="false" customHeight="true" outlineLevel="0" collapsed="false">
      <c r="A23" s="5" t="s">
        <v>82</v>
      </c>
      <c r="B23" s="5" t="s">
        <v>83</v>
      </c>
      <c r="C23" s="5" t="s">
        <v>48</v>
      </c>
      <c r="D23" s="5" t="s">
        <v>36</v>
      </c>
      <c r="E23" s="5" t="s">
        <v>59</v>
      </c>
      <c r="F23" s="5" t="s">
        <v>38</v>
      </c>
      <c r="G23" s="7" t="s">
        <v>39</v>
      </c>
      <c r="H23" s="7"/>
      <c r="I23" s="7"/>
      <c r="J23" s="7"/>
      <c r="K23" s="7"/>
    </row>
    <row r="24" customFormat="false" ht="26.25" hidden="false" customHeight="true" outlineLevel="0" collapsed="false">
      <c r="A24" s="5" t="s">
        <v>84</v>
      </c>
      <c r="B24" s="5" t="s">
        <v>85</v>
      </c>
      <c r="C24" s="5" t="s">
        <v>35</v>
      </c>
      <c r="D24" s="5" t="s">
        <v>86</v>
      </c>
      <c r="E24" s="5" t="s">
        <v>37</v>
      </c>
      <c r="F24" s="5" t="s">
        <v>38</v>
      </c>
      <c r="G24" s="7" t="s">
        <v>39</v>
      </c>
      <c r="H24" s="7"/>
      <c r="I24" s="7"/>
      <c r="J24" s="7"/>
      <c r="K24" s="7"/>
    </row>
    <row r="25" customFormat="false" ht="26.25" hidden="false" customHeight="true" outlineLevel="0" collapsed="false">
      <c r="A25" s="5" t="s">
        <v>87</v>
      </c>
      <c r="B25" s="5" t="s">
        <v>88</v>
      </c>
      <c r="C25" s="5" t="s">
        <v>35</v>
      </c>
      <c r="D25" s="5" t="s">
        <v>86</v>
      </c>
      <c r="E25" s="5" t="s">
        <v>37</v>
      </c>
      <c r="F25" s="5" t="s">
        <v>38</v>
      </c>
      <c r="G25" s="7" t="s">
        <v>39</v>
      </c>
      <c r="H25" s="7"/>
      <c r="I25" s="7"/>
      <c r="J25" s="7"/>
      <c r="K25" s="7"/>
    </row>
    <row r="26" customFormat="false" ht="26.25" hidden="false" customHeight="true" outlineLevel="0" collapsed="false">
      <c r="A26" s="5" t="s">
        <v>89</v>
      </c>
      <c r="B26" s="5" t="s">
        <v>90</v>
      </c>
      <c r="C26" s="5" t="s">
        <v>35</v>
      </c>
      <c r="D26" s="5" t="s">
        <v>86</v>
      </c>
      <c r="E26" s="5" t="s">
        <v>59</v>
      </c>
      <c r="F26" s="5" t="s">
        <v>38</v>
      </c>
      <c r="G26" s="7" t="s">
        <v>39</v>
      </c>
      <c r="H26" s="7"/>
      <c r="I26" s="7"/>
      <c r="J26" s="7"/>
      <c r="K26" s="7"/>
    </row>
    <row r="27" customFormat="false" ht="26.25" hidden="false" customHeight="true" outlineLevel="0" collapsed="false">
      <c r="A27" s="5" t="s">
        <v>91</v>
      </c>
      <c r="B27" s="5" t="s">
        <v>92</v>
      </c>
      <c r="C27" s="5" t="s">
        <v>35</v>
      </c>
      <c r="D27" s="5" t="s">
        <v>86</v>
      </c>
      <c r="E27" s="5" t="s">
        <v>37</v>
      </c>
      <c r="F27" s="5" t="s">
        <v>38</v>
      </c>
      <c r="G27" s="7" t="s">
        <v>39</v>
      </c>
      <c r="H27" s="7"/>
      <c r="I27" s="7"/>
      <c r="J27" s="7"/>
      <c r="K27" s="7"/>
    </row>
    <row r="28" customFormat="false" ht="26.25" hidden="false" customHeight="true" outlineLevel="0" collapsed="false">
      <c r="A28" s="5" t="s">
        <v>93</v>
      </c>
      <c r="B28" s="5" t="s">
        <v>94</v>
      </c>
      <c r="C28" s="5" t="s">
        <v>35</v>
      </c>
      <c r="D28" s="5" t="s">
        <v>86</v>
      </c>
      <c r="E28" s="5" t="s">
        <v>37</v>
      </c>
      <c r="F28" s="5" t="s">
        <v>38</v>
      </c>
      <c r="G28" s="7" t="s">
        <v>39</v>
      </c>
      <c r="H28" s="7"/>
      <c r="I28" s="7"/>
      <c r="J28" s="7"/>
      <c r="K28" s="7"/>
    </row>
    <row r="29" customFormat="false" ht="26.25" hidden="false" customHeight="true" outlineLevel="0" collapsed="false">
      <c r="A29" s="5" t="s">
        <v>95</v>
      </c>
      <c r="B29" s="5" t="s">
        <v>96</v>
      </c>
      <c r="C29" s="5" t="s">
        <v>72</v>
      </c>
      <c r="D29" s="5" t="s">
        <v>86</v>
      </c>
      <c r="E29" s="5" t="s">
        <v>59</v>
      </c>
      <c r="F29" s="5" t="s">
        <v>73</v>
      </c>
      <c r="G29" s="7" t="s">
        <v>39</v>
      </c>
      <c r="H29" s="7"/>
      <c r="I29" s="7"/>
      <c r="J29" s="7"/>
      <c r="K29" s="7"/>
    </row>
    <row r="30" customFormat="false" ht="26.25" hidden="false" customHeight="true" outlineLevel="0" collapsed="false">
      <c r="A30" s="5" t="s">
        <v>97</v>
      </c>
      <c r="B30" s="5" t="s">
        <v>98</v>
      </c>
      <c r="C30" s="5" t="s">
        <v>35</v>
      </c>
      <c r="D30" s="5" t="s">
        <v>86</v>
      </c>
      <c r="E30" s="5" t="s">
        <v>37</v>
      </c>
      <c r="F30" s="5" t="s">
        <v>38</v>
      </c>
      <c r="G30" s="7" t="s">
        <v>39</v>
      </c>
      <c r="H30" s="7"/>
      <c r="I30" s="7"/>
      <c r="J30" s="7"/>
      <c r="K30" s="7"/>
    </row>
    <row r="31" customFormat="false" ht="26.25" hidden="false" customHeight="true" outlineLevel="0" collapsed="false">
      <c r="A31" s="5" t="s">
        <v>99</v>
      </c>
      <c r="B31" s="5" t="s">
        <v>100</v>
      </c>
      <c r="C31" s="5" t="s">
        <v>35</v>
      </c>
      <c r="D31" s="5" t="s">
        <v>86</v>
      </c>
      <c r="E31" s="5" t="s">
        <v>37</v>
      </c>
      <c r="F31" s="5" t="s">
        <v>38</v>
      </c>
      <c r="G31" s="7" t="s">
        <v>39</v>
      </c>
      <c r="H31" s="7"/>
      <c r="I31" s="7"/>
      <c r="J31" s="7"/>
      <c r="K31" s="7"/>
    </row>
    <row r="32" customFormat="false" ht="26.25" hidden="false" customHeight="true" outlineLevel="0" collapsed="false">
      <c r="A32" s="5" t="s">
        <v>101</v>
      </c>
      <c r="B32" s="5" t="s">
        <v>102</v>
      </c>
      <c r="C32" s="5" t="s">
        <v>35</v>
      </c>
      <c r="D32" s="5" t="s">
        <v>86</v>
      </c>
      <c r="E32" s="5" t="s">
        <v>37</v>
      </c>
      <c r="F32" s="5" t="s">
        <v>38</v>
      </c>
      <c r="G32" s="7" t="s">
        <v>39</v>
      </c>
      <c r="H32" s="7"/>
      <c r="I32" s="7"/>
      <c r="J32" s="7"/>
      <c r="K32" s="7"/>
    </row>
    <row r="33" customFormat="false" ht="26.25" hidden="false" customHeight="true" outlineLevel="0" collapsed="false">
      <c r="A33" s="5" t="s">
        <v>103</v>
      </c>
      <c r="B33" s="5" t="s">
        <v>104</v>
      </c>
      <c r="C33" s="5" t="s">
        <v>35</v>
      </c>
      <c r="D33" s="5" t="s">
        <v>86</v>
      </c>
      <c r="E33" s="5" t="s">
        <v>37</v>
      </c>
      <c r="F33" s="5" t="s">
        <v>38</v>
      </c>
      <c r="G33" s="7" t="s">
        <v>39</v>
      </c>
      <c r="H33" s="7"/>
      <c r="I33" s="7"/>
      <c r="J33" s="7"/>
      <c r="K33" s="7"/>
    </row>
    <row r="34" customFormat="false" ht="26.25" hidden="false" customHeight="true" outlineLevel="0" collapsed="false">
      <c r="A34" s="5" t="s">
        <v>105</v>
      </c>
      <c r="B34" s="5" t="s">
        <v>106</v>
      </c>
      <c r="C34" s="5" t="s">
        <v>35</v>
      </c>
      <c r="D34" s="5" t="s">
        <v>86</v>
      </c>
      <c r="E34" s="5" t="s">
        <v>37</v>
      </c>
      <c r="F34" s="5" t="s">
        <v>38</v>
      </c>
      <c r="G34" s="7" t="s">
        <v>39</v>
      </c>
      <c r="H34" s="7"/>
      <c r="I34" s="7"/>
      <c r="J34" s="7"/>
      <c r="K34" s="7"/>
    </row>
    <row r="35" customFormat="false" ht="26.25" hidden="false" customHeight="true" outlineLevel="0" collapsed="false">
      <c r="A35" s="5" t="s">
        <v>107</v>
      </c>
      <c r="B35" s="5" t="s">
        <v>108</v>
      </c>
      <c r="C35" s="5" t="s">
        <v>48</v>
      </c>
      <c r="D35" s="5" t="s">
        <v>86</v>
      </c>
      <c r="E35" s="5" t="s">
        <v>37</v>
      </c>
      <c r="F35" s="5" t="s">
        <v>38</v>
      </c>
      <c r="G35" s="7" t="s">
        <v>39</v>
      </c>
      <c r="H35" s="7"/>
      <c r="I35" s="7"/>
      <c r="J35" s="7"/>
      <c r="K35" s="7"/>
    </row>
    <row r="36" customFormat="false" ht="26.25" hidden="false" customHeight="true" outlineLevel="0" collapsed="false">
      <c r="A36" s="5" t="s">
        <v>109</v>
      </c>
      <c r="B36" s="5" t="s">
        <v>110</v>
      </c>
      <c r="C36" s="5" t="s">
        <v>48</v>
      </c>
      <c r="D36" s="5" t="s">
        <v>86</v>
      </c>
      <c r="E36" s="5" t="s">
        <v>37</v>
      </c>
      <c r="F36" s="5" t="s">
        <v>38</v>
      </c>
      <c r="G36" s="7" t="s">
        <v>39</v>
      </c>
      <c r="H36" s="7"/>
      <c r="I36" s="7"/>
      <c r="J36" s="7"/>
      <c r="K36" s="7"/>
    </row>
    <row r="37" customFormat="false" ht="26.25" hidden="false" customHeight="true" outlineLevel="0" collapsed="false">
      <c r="A37" s="5" t="s">
        <v>111</v>
      </c>
      <c r="B37" s="5" t="s">
        <v>112</v>
      </c>
      <c r="C37" s="5" t="s">
        <v>48</v>
      </c>
      <c r="D37" s="5" t="s">
        <v>86</v>
      </c>
      <c r="E37" s="5" t="s">
        <v>37</v>
      </c>
      <c r="F37" s="5" t="s">
        <v>38</v>
      </c>
      <c r="G37" s="7" t="s">
        <v>39</v>
      </c>
      <c r="H37" s="7"/>
      <c r="I37" s="7"/>
      <c r="J37" s="7"/>
      <c r="K37" s="7"/>
    </row>
    <row r="38" customFormat="false" ht="26.25" hidden="false" customHeight="true" outlineLevel="0" collapsed="false">
      <c r="A38" s="5" t="s">
        <v>113</v>
      </c>
      <c r="B38" s="5" t="s">
        <v>114</v>
      </c>
      <c r="C38" s="5" t="s">
        <v>72</v>
      </c>
      <c r="D38" s="5" t="s">
        <v>86</v>
      </c>
      <c r="E38" s="5" t="s">
        <v>37</v>
      </c>
      <c r="F38" s="5" t="s">
        <v>73</v>
      </c>
      <c r="G38" s="7" t="s">
        <v>39</v>
      </c>
      <c r="H38" s="7"/>
      <c r="I38" s="7"/>
      <c r="J38" s="7"/>
      <c r="K38" s="7"/>
    </row>
    <row r="39" customFormat="false" ht="26.25" hidden="false" customHeight="true" outlineLevel="0" collapsed="false">
      <c r="A39" s="5" t="s">
        <v>115</v>
      </c>
      <c r="B39" s="5" t="s">
        <v>116</v>
      </c>
      <c r="C39" s="5" t="s">
        <v>72</v>
      </c>
      <c r="D39" s="5" t="s">
        <v>86</v>
      </c>
      <c r="E39" s="5" t="s">
        <v>37</v>
      </c>
      <c r="F39" s="5" t="s">
        <v>73</v>
      </c>
      <c r="G39" s="7" t="s">
        <v>39</v>
      </c>
      <c r="H39" s="7"/>
      <c r="I39" s="7"/>
      <c r="J39" s="7"/>
      <c r="K39" s="7"/>
    </row>
    <row r="40" customFormat="false" ht="26.25" hidden="false" customHeight="true" outlineLevel="0" collapsed="false">
      <c r="A40" s="5" t="s">
        <v>117</v>
      </c>
      <c r="B40" s="5" t="s">
        <v>118</v>
      </c>
      <c r="C40" s="5" t="s">
        <v>48</v>
      </c>
      <c r="D40" s="5" t="s">
        <v>86</v>
      </c>
      <c r="E40" s="5" t="s">
        <v>119</v>
      </c>
      <c r="F40" s="5" t="s">
        <v>38</v>
      </c>
      <c r="G40" s="7" t="s">
        <v>39</v>
      </c>
      <c r="H40" s="7"/>
      <c r="I40" s="7"/>
      <c r="J40" s="7"/>
      <c r="K40" s="7"/>
    </row>
    <row r="41" customFormat="false" ht="26.25" hidden="false" customHeight="true" outlineLevel="0" collapsed="false">
      <c r="A41" s="5" t="s">
        <v>120</v>
      </c>
      <c r="B41" s="5" t="s">
        <v>121</v>
      </c>
      <c r="C41" s="5" t="s">
        <v>35</v>
      </c>
      <c r="D41" s="5" t="s">
        <v>86</v>
      </c>
      <c r="E41" s="5" t="s">
        <v>59</v>
      </c>
      <c r="F41" s="5" t="s">
        <v>38</v>
      </c>
      <c r="G41" s="7" t="s">
        <v>39</v>
      </c>
      <c r="H41" s="7"/>
      <c r="I41" s="7"/>
      <c r="J41" s="7"/>
      <c r="K41" s="7"/>
    </row>
    <row r="42" customFormat="false" ht="26.25" hidden="false" customHeight="true" outlineLevel="0" collapsed="false">
      <c r="A42" s="5" t="s">
        <v>122</v>
      </c>
      <c r="B42" s="5" t="s">
        <v>123</v>
      </c>
      <c r="C42" s="5" t="s">
        <v>35</v>
      </c>
      <c r="D42" s="5" t="s">
        <v>86</v>
      </c>
      <c r="E42" s="5" t="s">
        <v>59</v>
      </c>
      <c r="F42" s="5" t="s">
        <v>38</v>
      </c>
      <c r="G42" s="7" t="s">
        <v>39</v>
      </c>
      <c r="H42" s="7"/>
      <c r="I42" s="7"/>
      <c r="J42" s="7"/>
      <c r="K42" s="7"/>
    </row>
    <row r="43" customFormat="false" ht="26.25" hidden="false" customHeight="true" outlineLevel="0" collapsed="false">
      <c r="A43" s="5" t="s">
        <v>124</v>
      </c>
      <c r="B43" s="5" t="s">
        <v>125</v>
      </c>
      <c r="C43" s="5" t="s">
        <v>35</v>
      </c>
      <c r="D43" s="5" t="s">
        <v>86</v>
      </c>
      <c r="E43" s="5" t="s">
        <v>59</v>
      </c>
      <c r="F43" s="5" t="s">
        <v>38</v>
      </c>
      <c r="G43" s="7" t="s">
        <v>39</v>
      </c>
      <c r="H43" s="7"/>
      <c r="I43" s="7"/>
      <c r="J43" s="7"/>
      <c r="K43" s="7"/>
    </row>
    <row r="44" customFormat="false" ht="26.25" hidden="false" customHeight="true" outlineLevel="0" collapsed="false">
      <c r="A44" s="5" t="s">
        <v>126</v>
      </c>
      <c r="B44" s="5" t="s">
        <v>127</v>
      </c>
      <c r="C44" s="5" t="s">
        <v>35</v>
      </c>
      <c r="D44" s="5" t="s">
        <v>86</v>
      </c>
      <c r="E44" s="5" t="s">
        <v>59</v>
      </c>
      <c r="F44" s="5" t="s">
        <v>38</v>
      </c>
      <c r="G44" s="7" t="s">
        <v>39</v>
      </c>
      <c r="H44" s="7"/>
      <c r="I44" s="7"/>
      <c r="J44" s="7"/>
      <c r="K44" s="7"/>
    </row>
    <row r="45" customFormat="false" ht="26.25" hidden="false" customHeight="true" outlineLevel="0" collapsed="false">
      <c r="A45" s="5" t="s">
        <v>128</v>
      </c>
      <c r="B45" s="5" t="s">
        <v>129</v>
      </c>
      <c r="C45" s="5" t="s">
        <v>72</v>
      </c>
      <c r="D45" s="5" t="s">
        <v>86</v>
      </c>
      <c r="E45" s="5" t="s">
        <v>59</v>
      </c>
      <c r="F45" s="5" t="s">
        <v>73</v>
      </c>
      <c r="G45" s="7" t="s">
        <v>39</v>
      </c>
      <c r="H45" s="7"/>
      <c r="I45" s="7"/>
      <c r="J45" s="7"/>
      <c r="K45" s="7"/>
    </row>
    <row r="46" customFormat="false" ht="26.25" hidden="false" customHeight="true" outlineLevel="0" collapsed="false">
      <c r="A46" s="5" t="s">
        <v>130</v>
      </c>
      <c r="B46" s="5" t="s">
        <v>131</v>
      </c>
      <c r="C46" s="5" t="s">
        <v>48</v>
      </c>
      <c r="D46" s="5" t="s">
        <v>86</v>
      </c>
      <c r="E46" s="5" t="s">
        <v>119</v>
      </c>
      <c r="F46" s="5" t="s">
        <v>38</v>
      </c>
      <c r="G46" s="7" t="s">
        <v>39</v>
      </c>
      <c r="H46" s="7"/>
      <c r="I46" s="7"/>
      <c r="J46" s="7"/>
      <c r="K46" s="7"/>
    </row>
    <row r="47" customFormat="false" ht="26.25" hidden="false" customHeight="true" outlineLevel="0" collapsed="false">
      <c r="A47" s="5" t="s">
        <v>132</v>
      </c>
      <c r="B47" s="5" t="s">
        <v>133</v>
      </c>
      <c r="C47" s="5" t="s">
        <v>48</v>
      </c>
      <c r="D47" s="5" t="s">
        <v>86</v>
      </c>
      <c r="E47" s="5" t="s">
        <v>119</v>
      </c>
      <c r="F47" s="5" t="s">
        <v>38</v>
      </c>
      <c r="G47" s="7" t="s">
        <v>39</v>
      </c>
      <c r="H47" s="7"/>
      <c r="I47" s="7"/>
      <c r="J47" s="7"/>
      <c r="K47" s="7"/>
    </row>
    <row r="48" customFormat="false" ht="26.25" hidden="false" customHeight="true" outlineLevel="0" collapsed="false">
      <c r="A48" s="5" t="s">
        <v>134</v>
      </c>
      <c r="B48" s="5" t="s">
        <v>135</v>
      </c>
      <c r="C48" s="5" t="s">
        <v>35</v>
      </c>
      <c r="D48" s="5" t="s">
        <v>136</v>
      </c>
      <c r="E48" s="5" t="s">
        <v>37</v>
      </c>
      <c r="F48" s="5" t="s">
        <v>38</v>
      </c>
      <c r="G48" s="7" t="s">
        <v>39</v>
      </c>
      <c r="H48" s="7"/>
      <c r="I48" s="7"/>
      <c r="J48" s="7"/>
      <c r="K48" s="7"/>
    </row>
    <row r="49" customFormat="false" ht="26.25" hidden="false" customHeight="true" outlineLevel="0" collapsed="false">
      <c r="A49" s="5" t="s">
        <v>137</v>
      </c>
      <c r="B49" s="5" t="s">
        <v>138</v>
      </c>
      <c r="C49" s="5" t="s">
        <v>48</v>
      </c>
      <c r="D49" s="5" t="s">
        <v>136</v>
      </c>
      <c r="E49" s="5" t="s">
        <v>37</v>
      </c>
      <c r="F49" s="5" t="s">
        <v>38</v>
      </c>
      <c r="G49" s="7" t="s">
        <v>39</v>
      </c>
      <c r="H49" s="7"/>
      <c r="I49" s="7"/>
      <c r="J49" s="7"/>
      <c r="K49" s="7"/>
    </row>
    <row r="50" customFormat="false" ht="26.25" hidden="false" customHeight="true" outlineLevel="0" collapsed="false">
      <c r="A50" s="5" t="s">
        <v>139</v>
      </c>
      <c r="B50" s="5" t="s">
        <v>140</v>
      </c>
      <c r="C50" s="5" t="s">
        <v>35</v>
      </c>
      <c r="D50" s="5" t="s">
        <v>136</v>
      </c>
      <c r="E50" s="5" t="s">
        <v>37</v>
      </c>
      <c r="F50" s="5" t="s">
        <v>38</v>
      </c>
      <c r="G50" s="7" t="s">
        <v>39</v>
      </c>
      <c r="H50" s="7"/>
      <c r="I50" s="7"/>
      <c r="J50" s="7"/>
      <c r="K50" s="7"/>
    </row>
    <row r="51" customFormat="false" ht="26.25" hidden="false" customHeight="true" outlineLevel="0" collapsed="false">
      <c r="A51" s="5" t="s">
        <v>141</v>
      </c>
      <c r="B51" s="5" t="s">
        <v>142</v>
      </c>
      <c r="C51" s="5" t="s">
        <v>35</v>
      </c>
      <c r="D51" s="5" t="s">
        <v>136</v>
      </c>
      <c r="E51" s="5" t="s">
        <v>37</v>
      </c>
      <c r="F51" s="5" t="s">
        <v>38</v>
      </c>
      <c r="G51" s="7" t="s">
        <v>39</v>
      </c>
      <c r="H51" s="7"/>
      <c r="I51" s="7"/>
      <c r="J51" s="7"/>
      <c r="K51" s="7"/>
    </row>
    <row r="52" customFormat="false" ht="26.25" hidden="false" customHeight="true" outlineLevel="0" collapsed="false">
      <c r="A52" s="5" t="s">
        <v>143</v>
      </c>
      <c r="B52" s="5" t="s">
        <v>144</v>
      </c>
      <c r="C52" s="5" t="s">
        <v>48</v>
      </c>
      <c r="D52" s="5" t="s">
        <v>136</v>
      </c>
      <c r="E52" s="5" t="s">
        <v>37</v>
      </c>
      <c r="F52" s="5" t="s">
        <v>38</v>
      </c>
      <c r="G52" s="7" t="s">
        <v>39</v>
      </c>
      <c r="H52" s="7"/>
      <c r="I52" s="7"/>
      <c r="J52" s="7"/>
      <c r="K52" s="7"/>
    </row>
    <row r="53" customFormat="false" ht="26.25" hidden="false" customHeight="true" outlineLevel="0" collapsed="false">
      <c r="A53" s="5" t="s">
        <v>145</v>
      </c>
      <c r="B53" s="5" t="s">
        <v>146</v>
      </c>
      <c r="C53" s="5" t="s">
        <v>48</v>
      </c>
      <c r="D53" s="5" t="s">
        <v>136</v>
      </c>
      <c r="E53" s="5" t="s">
        <v>37</v>
      </c>
      <c r="F53" s="5" t="s">
        <v>38</v>
      </c>
      <c r="G53" s="7" t="s">
        <v>39</v>
      </c>
      <c r="H53" s="7"/>
      <c r="I53" s="7"/>
      <c r="J53" s="7"/>
      <c r="K53" s="7"/>
    </row>
    <row r="54" customFormat="false" ht="26.25" hidden="false" customHeight="true" outlineLevel="0" collapsed="false">
      <c r="A54" s="5" t="s">
        <v>147</v>
      </c>
      <c r="B54" s="5" t="s">
        <v>148</v>
      </c>
      <c r="C54" s="5" t="s">
        <v>72</v>
      </c>
      <c r="D54" s="5" t="s">
        <v>136</v>
      </c>
      <c r="E54" s="5" t="s">
        <v>37</v>
      </c>
      <c r="F54" s="5" t="s">
        <v>73</v>
      </c>
      <c r="G54" s="7" t="s">
        <v>39</v>
      </c>
      <c r="H54" s="7"/>
      <c r="I54" s="7"/>
      <c r="J54" s="7"/>
      <c r="K54" s="7"/>
    </row>
    <row r="55" customFormat="false" ht="15" hidden="false" customHeight="true" outlineLevel="0" collapsed="false">
      <c r="A55" s="5" t="s">
        <v>149</v>
      </c>
      <c r="B55" s="5" t="s">
        <v>150</v>
      </c>
      <c r="C55" s="5" t="s">
        <v>35</v>
      </c>
      <c r="D55" s="5" t="s">
        <v>136</v>
      </c>
      <c r="E55" s="5" t="s">
        <v>119</v>
      </c>
      <c r="F55" s="5" t="s">
        <v>38</v>
      </c>
      <c r="G55" s="7" t="s">
        <v>39</v>
      </c>
      <c r="H55" s="7"/>
      <c r="I55" s="7"/>
      <c r="J55" s="7"/>
      <c r="K55" s="7"/>
    </row>
    <row r="56" customFormat="false" ht="26.25" hidden="false" customHeight="true" outlineLevel="0" collapsed="false">
      <c r="A56" s="5" t="s">
        <v>151</v>
      </c>
      <c r="B56" s="5" t="s">
        <v>152</v>
      </c>
      <c r="C56" s="5" t="s">
        <v>35</v>
      </c>
      <c r="D56" s="5" t="s">
        <v>136</v>
      </c>
      <c r="E56" s="5" t="s">
        <v>37</v>
      </c>
      <c r="F56" s="5" t="s">
        <v>38</v>
      </c>
      <c r="G56" s="7" t="s">
        <v>39</v>
      </c>
      <c r="H56" s="7"/>
      <c r="I56" s="7"/>
      <c r="J56" s="7"/>
      <c r="K56" s="7"/>
    </row>
    <row r="57" customFormat="false" ht="26.25" hidden="false" customHeight="true" outlineLevel="0" collapsed="false">
      <c r="A57" s="5" t="s">
        <v>153</v>
      </c>
      <c r="B57" s="5" t="s">
        <v>154</v>
      </c>
      <c r="C57" s="5" t="s">
        <v>35</v>
      </c>
      <c r="D57" s="5" t="s">
        <v>136</v>
      </c>
      <c r="E57" s="5" t="s">
        <v>37</v>
      </c>
      <c r="F57" s="5" t="s">
        <v>38</v>
      </c>
      <c r="G57" s="7" t="s">
        <v>39</v>
      </c>
      <c r="H57" s="7"/>
      <c r="I57" s="7"/>
      <c r="J57" s="7"/>
      <c r="K57" s="7"/>
    </row>
    <row r="58" customFormat="false" ht="15" hidden="false" customHeight="true" outlineLevel="0" collapsed="false">
      <c r="A58" s="5" t="s">
        <v>155</v>
      </c>
      <c r="B58" s="5" t="s">
        <v>156</v>
      </c>
      <c r="C58" s="5" t="s">
        <v>48</v>
      </c>
      <c r="D58" s="5" t="s">
        <v>136</v>
      </c>
      <c r="E58" s="5" t="s">
        <v>37</v>
      </c>
      <c r="F58" s="5" t="s">
        <v>38</v>
      </c>
      <c r="G58" s="7" t="s">
        <v>39</v>
      </c>
      <c r="H58" s="7"/>
      <c r="I58" s="7"/>
      <c r="J58" s="7"/>
      <c r="K58" s="7"/>
    </row>
    <row r="59" customFormat="false" ht="15" hidden="false" customHeight="true" outlineLevel="0" collapsed="false">
      <c r="A59" s="5" t="s">
        <v>157</v>
      </c>
      <c r="B59" s="5" t="s">
        <v>158</v>
      </c>
      <c r="C59" s="5" t="s">
        <v>48</v>
      </c>
      <c r="D59" s="5" t="s">
        <v>136</v>
      </c>
      <c r="E59" s="5" t="s">
        <v>37</v>
      </c>
      <c r="F59" s="5" t="s">
        <v>38</v>
      </c>
      <c r="G59" s="7" t="s">
        <v>39</v>
      </c>
      <c r="H59" s="7"/>
      <c r="I59" s="7"/>
      <c r="J59" s="7"/>
      <c r="K59" s="7"/>
    </row>
    <row r="60" customFormat="false" ht="15" hidden="false" customHeight="true" outlineLevel="0" collapsed="false">
      <c r="A60" s="5" t="s">
        <v>159</v>
      </c>
      <c r="B60" s="5" t="s">
        <v>160</v>
      </c>
      <c r="C60" s="5" t="s">
        <v>35</v>
      </c>
      <c r="D60" s="5" t="s">
        <v>136</v>
      </c>
      <c r="E60" s="5" t="s">
        <v>119</v>
      </c>
      <c r="F60" s="5" t="s">
        <v>38</v>
      </c>
      <c r="G60" s="7" t="s">
        <v>39</v>
      </c>
      <c r="H60" s="7"/>
      <c r="I60" s="7"/>
      <c r="J60" s="7"/>
      <c r="K60" s="7"/>
    </row>
    <row r="61" customFormat="false" ht="15" hidden="false" customHeight="true" outlineLevel="0" collapsed="false">
      <c r="A61" s="5" t="s">
        <v>161</v>
      </c>
      <c r="B61" s="5" t="s">
        <v>162</v>
      </c>
      <c r="C61" s="5" t="s">
        <v>48</v>
      </c>
      <c r="D61" s="5" t="s">
        <v>136</v>
      </c>
      <c r="E61" s="5" t="s">
        <v>119</v>
      </c>
      <c r="F61" s="5" t="s">
        <v>38</v>
      </c>
      <c r="G61" s="7" t="s">
        <v>39</v>
      </c>
      <c r="H61" s="7"/>
      <c r="I61" s="7"/>
      <c r="J61" s="7"/>
      <c r="K61" s="7"/>
    </row>
    <row r="62" customFormat="false" ht="15" hidden="false" customHeight="true" outlineLevel="0" collapsed="false">
      <c r="A62" s="5" t="s">
        <v>163</v>
      </c>
      <c r="B62" s="5" t="s">
        <v>164</v>
      </c>
      <c r="C62" s="5" t="s">
        <v>35</v>
      </c>
      <c r="D62" s="5" t="s">
        <v>165</v>
      </c>
      <c r="E62" s="5" t="s">
        <v>37</v>
      </c>
      <c r="F62" s="5" t="s">
        <v>73</v>
      </c>
      <c r="G62" s="7" t="s">
        <v>39</v>
      </c>
      <c r="H62" s="7"/>
      <c r="I62" s="7"/>
      <c r="J62" s="7"/>
      <c r="K62" s="7"/>
    </row>
    <row r="63" customFormat="false" ht="15" hidden="false" customHeight="true" outlineLevel="0" collapsed="false">
      <c r="A63" s="5" t="s">
        <v>166</v>
      </c>
      <c r="B63" s="5" t="s">
        <v>167</v>
      </c>
      <c r="C63" s="5" t="s">
        <v>35</v>
      </c>
      <c r="D63" s="5" t="s">
        <v>165</v>
      </c>
      <c r="E63" s="5" t="s">
        <v>37</v>
      </c>
      <c r="F63" s="5" t="s">
        <v>38</v>
      </c>
      <c r="G63" s="7" t="s">
        <v>39</v>
      </c>
      <c r="H63" s="7"/>
      <c r="I63" s="7"/>
      <c r="J63" s="7"/>
      <c r="K63" s="7"/>
    </row>
    <row r="64" customFormat="false" ht="15" hidden="false" customHeight="true" outlineLevel="0" collapsed="false">
      <c r="A64" s="5" t="s">
        <v>168</v>
      </c>
      <c r="B64" s="5" t="s">
        <v>169</v>
      </c>
      <c r="C64" s="5" t="s">
        <v>48</v>
      </c>
      <c r="D64" s="5" t="s">
        <v>165</v>
      </c>
      <c r="E64" s="5" t="s">
        <v>59</v>
      </c>
      <c r="F64" s="5" t="s">
        <v>38</v>
      </c>
      <c r="G64" s="7" t="s">
        <v>39</v>
      </c>
      <c r="H64" s="7"/>
      <c r="I64" s="7"/>
      <c r="J64" s="7"/>
      <c r="K64" s="7"/>
    </row>
  </sheetData>
  <autoFilter ref="A1:K57"/>
  <dataValidations count="1">
    <dataValidation allowBlank="false" error="Elegí un valor de la lista." errorStyle="stop" errorTitle="Valor no válido" operator="between" showDropDown="false" showErrorMessage="true" showInputMessage="false" sqref="G2:G64" type="list">
      <formula1>"Cumple,No cumple,No aplica,No evaluado"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5" min="2" style="1" width="12"/>
  </cols>
  <sheetData>
    <row r="1" customFormat="false" ht="15.75" hidden="false" customHeight="true" outlineLevel="0" collapsed="false">
      <c r="A1" s="8" t="s">
        <v>170</v>
      </c>
    </row>
    <row r="3" customFormat="false" ht="15" hidden="false" customHeight="true" outlineLevel="0" collapsed="false">
      <c r="A3" s="9" t="s">
        <v>171</v>
      </c>
    </row>
    <row r="4" customFormat="false" ht="15" hidden="false" customHeight="true" outlineLevel="0" collapsed="false">
      <c r="A4" s="10" t="s">
        <v>17</v>
      </c>
      <c r="B4" s="10" t="s">
        <v>172</v>
      </c>
      <c r="C4" s="10" t="s">
        <v>173</v>
      </c>
      <c r="D4" s="10" t="s">
        <v>174</v>
      </c>
      <c r="E4" s="10" t="s">
        <v>175</v>
      </c>
    </row>
    <row r="5" customFormat="false" ht="15" hidden="false" customHeight="true" outlineLevel="0" collapsed="false">
      <c r="A5" s="11" t="s">
        <v>176</v>
      </c>
      <c r="B5" s="11" t="n">
        <f aca="false">COUNTIFS(Criterios!$C$2:$C$64,"A",Criterios!$G$2:$G$64,$A5)</f>
        <v>0</v>
      </c>
      <c r="C5" s="11" t="n">
        <f aca="false">COUNTIFS(Criterios!$C$2:$C$64,"AA",Criterios!$G$2:$G$64,$A5)</f>
        <v>0</v>
      </c>
      <c r="D5" s="11" t="n">
        <f aca="false">COUNTIFS(Criterios!$C$2:$C$64,"AAA",Criterios!$G$2:$G$64,$A5)</f>
        <v>0</v>
      </c>
      <c r="E5" s="11" t="n">
        <f aca="false">B5+C5+D5</f>
        <v>0</v>
      </c>
    </row>
    <row r="6" customFormat="false" ht="15" hidden="false" customHeight="true" outlineLevel="0" collapsed="false">
      <c r="A6" s="11" t="s">
        <v>24</v>
      </c>
      <c r="B6" s="11" t="n">
        <f aca="false">COUNTIFS(Criterios!$C$2:$C$64,"A",Criterios!$G$2:$G$64,$A6)</f>
        <v>0</v>
      </c>
      <c r="C6" s="11" t="n">
        <f aca="false">COUNTIFS(Criterios!$C$2:$C$64,"AA",Criterios!$G$2:$G$64,$A6)</f>
        <v>0</v>
      </c>
      <c r="D6" s="11" t="n">
        <f aca="false">COUNTIFS(Criterios!$C$2:$C$64,"AAA",Criterios!$G$2:$G$64,$A6)</f>
        <v>0</v>
      </c>
      <c r="E6" s="11" t="n">
        <f aca="false">B6+C6+D6</f>
        <v>0</v>
      </c>
    </row>
    <row r="7" customFormat="false" ht="15" hidden="false" customHeight="true" outlineLevel="0" collapsed="false">
      <c r="A7" s="11" t="s">
        <v>177</v>
      </c>
      <c r="B7" s="11" t="n">
        <f aca="false">COUNTIFS(Criterios!$C$2:$C$64,"A",Criterios!$G$2:$G$64,$A7)</f>
        <v>0</v>
      </c>
      <c r="C7" s="11" t="n">
        <f aca="false">COUNTIFS(Criterios!$C$2:$C$64,"AA",Criterios!$G$2:$G$64,$A7)</f>
        <v>0</v>
      </c>
      <c r="D7" s="11" t="n">
        <f aca="false">COUNTIFS(Criterios!$C$2:$C$64,"AAA",Criterios!$G$2:$G$64,$A7)</f>
        <v>0</v>
      </c>
      <c r="E7" s="11" t="n">
        <f aca="false">B7+C7+D7</f>
        <v>0</v>
      </c>
    </row>
    <row r="8" customFormat="false" ht="15" hidden="false" customHeight="true" outlineLevel="0" collapsed="false">
      <c r="A8" s="11" t="s">
        <v>39</v>
      </c>
      <c r="B8" s="11" t="n">
        <f aca="false">COUNTIFS(Criterios!$C$2:$C$64,"A",Criterios!$G$2:$G$64,$A8)</f>
        <v>32</v>
      </c>
      <c r="C8" s="11" t="n">
        <f aca="false">COUNTIFS(Criterios!$C$2:$C$64,"AA",Criterios!$G$2:$G$64,$A8)</f>
        <v>24</v>
      </c>
      <c r="D8" s="11" t="n">
        <f aca="false">COUNTIFS(Criterios!$C$2:$C$64,"AAA",Criterios!$G$2:$G$64,$A8)</f>
        <v>7</v>
      </c>
      <c r="E8" s="11" t="n">
        <f aca="false">B8+C8+D8</f>
        <v>63</v>
      </c>
    </row>
    <row r="9" customFormat="false" ht="15" hidden="false" customHeight="true" outlineLevel="0" collapsed="false">
      <c r="A9" s="12" t="s">
        <v>178</v>
      </c>
      <c r="B9" s="12" t="n">
        <f aca="false">SUM(B5:B8)</f>
        <v>32</v>
      </c>
      <c r="C9" s="12" t="n">
        <f aca="false">SUM(C5:C8)</f>
        <v>24</v>
      </c>
      <c r="D9" s="12" t="n">
        <f aca="false">SUM(D5:D8)</f>
        <v>7</v>
      </c>
      <c r="E9" s="12" t="n">
        <f aca="false">SUM(E5:E8)</f>
        <v>63</v>
      </c>
    </row>
    <row r="10" customFormat="false" ht="15" hidden="false" customHeight="true" outlineLevel="0" collapsed="false">
      <c r="A10" s="13" t="s">
        <v>179</v>
      </c>
      <c r="E10" s="14" t="n">
        <f aca="false">IFERROR(1-E8/E9,0)</f>
        <v>0</v>
      </c>
    </row>
    <row r="12" customFormat="false" ht="15" hidden="false" customHeight="true" outlineLevel="0" collapsed="false">
      <c r="A12" s="9" t="s">
        <v>180</v>
      </c>
    </row>
    <row r="13" customFormat="false" ht="15" hidden="false" customHeight="true" outlineLevel="0" collapsed="false">
      <c r="A13" s="10" t="s">
        <v>17</v>
      </c>
      <c r="B13" s="10" t="s">
        <v>172</v>
      </c>
      <c r="C13" s="10" t="s">
        <v>173</v>
      </c>
      <c r="D13" s="10" t="s">
        <v>174</v>
      </c>
      <c r="E13" s="10" t="s">
        <v>175</v>
      </c>
    </row>
    <row r="14" customFormat="false" ht="15" hidden="false" customHeight="true" outlineLevel="0" collapsed="false">
      <c r="A14" s="11" t="s">
        <v>176</v>
      </c>
      <c r="B14" s="11" t="n">
        <f aca="false">COUNTIFS(Criterios!$C$2:$C$64,"A",Criterios!$G$2:$G$64,$A14,Criterios!$F$2:$F$64,"Sí")</f>
        <v>0</v>
      </c>
      <c r="C14" s="11" t="n">
        <f aca="false">COUNTIFS(Criterios!$C$2:$C$64,"AA",Criterios!$G$2:$G$64,$A14,Criterios!$F$2:$F$64,"Sí")</f>
        <v>0</v>
      </c>
      <c r="D14" s="11" t="n">
        <f aca="false">COUNTIFS(Criterios!$C$2:$C$64,"AAA",Criterios!$G$2:$G$64,$A14,Criterios!$F$2:$F$64,"Sí")</f>
        <v>0</v>
      </c>
      <c r="E14" s="11" t="n">
        <f aca="false">B14+C14+D14</f>
        <v>0</v>
      </c>
    </row>
    <row r="15" customFormat="false" ht="15" hidden="false" customHeight="true" outlineLevel="0" collapsed="false">
      <c r="A15" s="11" t="s">
        <v>24</v>
      </c>
      <c r="B15" s="11" t="n">
        <f aca="false">COUNTIFS(Criterios!$C$2:$C$64,"A",Criterios!$G$2:$G$64,$A15,Criterios!$F$2:$F$64,"Sí")</f>
        <v>0</v>
      </c>
      <c r="C15" s="11" t="n">
        <f aca="false">COUNTIFS(Criterios!$C$2:$C$64,"AA",Criterios!$G$2:$G$64,$A15,Criterios!$F$2:$F$64,"Sí")</f>
        <v>0</v>
      </c>
      <c r="D15" s="11" t="n">
        <f aca="false">COUNTIFS(Criterios!$C$2:$C$64,"AAA",Criterios!$G$2:$G$64,$A15,Criterios!$F$2:$F$64,"Sí")</f>
        <v>0</v>
      </c>
      <c r="E15" s="11" t="n">
        <f aca="false">B15+C15+D15</f>
        <v>0</v>
      </c>
    </row>
    <row r="16" customFormat="false" ht="15" hidden="false" customHeight="true" outlineLevel="0" collapsed="false">
      <c r="A16" s="11" t="s">
        <v>177</v>
      </c>
      <c r="B16" s="11" t="n">
        <f aca="false">COUNTIFS(Criterios!$C$2:$C$64,"A",Criterios!$G$2:$G$64,$A16,Criterios!$F$2:$F$64,"Sí")</f>
        <v>0</v>
      </c>
      <c r="C16" s="11" t="n">
        <f aca="false">COUNTIFS(Criterios!$C$2:$C$64,"AA",Criterios!$G$2:$G$64,$A16,Criterios!$F$2:$F$64,"Sí")</f>
        <v>0</v>
      </c>
      <c r="D16" s="11" t="n">
        <f aca="false">COUNTIFS(Criterios!$C$2:$C$64,"AAA",Criterios!$G$2:$G$64,$A16,Criterios!$F$2:$F$64,"Sí")</f>
        <v>0</v>
      </c>
      <c r="E16" s="11" t="n">
        <f aca="false">B16+C16+D16</f>
        <v>0</v>
      </c>
    </row>
    <row r="17" customFormat="false" ht="15" hidden="false" customHeight="true" outlineLevel="0" collapsed="false">
      <c r="A17" s="11" t="s">
        <v>39</v>
      </c>
      <c r="B17" s="11" t="n">
        <f aca="false">COUNTIFS(Criterios!$C$2:$C$64,"A",Criterios!$G$2:$G$64,$A17,Criterios!$F$2:$F$64,"Sí")</f>
        <v>31</v>
      </c>
      <c r="C17" s="11" t="n">
        <f aca="false">COUNTIFS(Criterios!$C$2:$C$64,"AA",Criterios!$G$2:$G$64,$A17,Criterios!$F$2:$F$64,"Sí")</f>
        <v>24</v>
      </c>
      <c r="D17" s="11" t="n">
        <f aca="false">COUNTIFS(Criterios!$C$2:$C$64,"AAA",Criterios!$G$2:$G$64,$A17,Criterios!$F$2:$F$64,"Sí")</f>
        <v>0</v>
      </c>
      <c r="E17" s="11" t="n">
        <f aca="false">B17+C17+D17</f>
        <v>55</v>
      </c>
    </row>
    <row r="18" customFormat="false" ht="15" hidden="false" customHeight="true" outlineLevel="0" collapsed="false">
      <c r="A18" s="12" t="s">
        <v>178</v>
      </c>
      <c r="B18" s="12" t="n">
        <f aca="false">SUM(B14:B17)</f>
        <v>31</v>
      </c>
      <c r="C18" s="12" t="n">
        <f aca="false">SUM(C14:C17)</f>
        <v>24</v>
      </c>
      <c r="D18" s="12" t="n">
        <f aca="false">SUM(D14:D17)</f>
        <v>0</v>
      </c>
      <c r="E18" s="12" t="n">
        <f aca="false">SUM(E14:E17)</f>
        <v>55</v>
      </c>
    </row>
    <row r="19" customFormat="false" ht="15" hidden="false" customHeight="true" outlineLevel="0" collapsed="false">
      <c r="A19" s="13" t="s">
        <v>179</v>
      </c>
      <c r="E19" s="14" t="n">
        <f aca="false">IFERROR(1-E17/E18,0)</f>
        <v>0</v>
      </c>
    </row>
    <row r="21" customFormat="false" ht="15" hidden="false" customHeight="true" outlineLevel="0" collapsed="false">
      <c r="A21" s="15" t="s">
        <v>181</v>
      </c>
      <c r="B21" s="15"/>
      <c r="C21" s="15"/>
      <c r="D21" s="15"/>
      <c r="E21" s="15"/>
    </row>
    <row r="22" customFormat="false" ht="15" hidden="false" customHeight="true" outlineLevel="0" collapsed="false">
      <c r="A22" s="15"/>
      <c r="B22" s="15"/>
      <c r="C22" s="15"/>
      <c r="D22" s="15"/>
      <c r="E22" s="15"/>
    </row>
    <row r="23" customFormat="false" ht="15" hidden="false" customHeight="true" outlineLevel="0" collapsed="false">
      <c r="A23" s="15"/>
      <c r="B23" s="15"/>
      <c r="C23" s="15"/>
      <c r="D23" s="15"/>
      <c r="E23" s="15"/>
    </row>
  </sheetData>
  <mergeCells count="1">
    <mergeCell ref="A21: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2026-10-21T05:53:27Z</dcterms:created>
  <dc:creator>openpyxl</dc:creator>
  <dc:description/>
  <dc:language>en-US</dc:language>
  <cp:lastModifiedBy/>
  <dcterms:modified xsi:type="dcterms:W3CDTF">2026-10-23T02:38:26Z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